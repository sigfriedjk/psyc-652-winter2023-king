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931" codeName="{4D1C537B-E38A-612A-F078-A93A15B4B7F4}"/>
  <workbookPr filterPrivacy="1" codeName="ThisWorkbook" defaultThemeVersion="124226"/>
  <xr:revisionPtr revIDLastSave="0" documentId="8_{53CDA4EA-0917-417F-815B-5FC19B5512B8}" xr6:coauthVersionLast="47" xr6:coauthVersionMax="47" xr10:uidLastSave="{00000000-0000-0000-0000-000000000000}"/>
  <bookViews>
    <workbookView xWindow="-120" yWindow="-120" windowWidth="29040" windowHeight="15720" tabRatio="954" xr2:uid="{00000000-000D-0000-FFFF-FFFF00000000}"/>
  </bookViews>
  <sheets>
    <sheet name="2 way interactions" sheetId="11" r:id="rId1"/>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32" i="11" l="1"/>
  <c r="D32" i="11"/>
  <c r="C32" i="11"/>
  <c r="B32" i="11"/>
  <c r="D31" i="11"/>
  <c r="C31" i="11"/>
  <c r="B31" i="11"/>
  <c r="D30" i="11"/>
  <c r="C30" i="11"/>
  <c r="E31" i="11" l="1"/>
  <c r="C24" i="11" s="1"/>
</calcChain>
</file>

<file path=xl/sharedStrings.xml><?xml version="1.0" encoding="utf-8"?>
<sst xmlns="http://schemas.openxmlformats.org/spreadsheetml/2006/main" count="16" uniqueCount="14">
  <si>
    <t>Enter information from your regression in the shaded cells</t>
  </si>
  <si>
    <t>Variable names:</t>
  </si>
  <si>
    <t>Independent variable:</t>
  </si>
  <si>
    <t>Moderator:</t>
  </si>
  <si>
    <t>Interaction:</t>
  </si>
  <si>
    <t>Intercept / Constant:</t>
  </si>
  <si>
    <t>Do not type below this line</t>
  </si>
  <si>
    <t>Dependent variable</t>
  </si>
  <si>
    <r>
      <rPr>
        <b/>
        <u/>
        <sz val="10"/>
        <color indexed="18"/>
        <rFont val="Arial"/>
        <family val="2"/>
      </rPr>
      <t>Unstandardized</t>
    </r>
    <r>
      <rPr>
        <b/>
        <sz val="10"/>
        <color indexed="18"/>
        <rFont val="Arial"/>
        <family val="2"/>
      </rPr>
      <t xml:space="preserve"> Regression Coefficients:</t>
    </r>
  </si>
  <si>
    <r>
      <t xml:space="preserve">This worksheet plots two-way interaction effects for </t>
    </r>
    <r>
      <rPr>
        <b/>
        <u/>
        <sz val="10"/>
        <rFont val="Arial"/>
        <family val="2"/>
      </rPr>
      <t>unstandardized</t>
    </r>
    <r>
      <rPr>
        <b/>
        <sz val="10"/>
        <rFont val="Arial"/>
        <family val="2"/>
      </rPr>
      <t xml:space="preserve"> variables. For further information see www.jeremydawson.co.uk/slopes.htm.</t>
    </r>
  </si>
  <si>
    <t xml:space="preserve">The independent variable is the one whose relationship with the DV is being moderated. The moderator is the other IV doing the moderating. The Interaction is the product variable. The intercept/constant, is just the virtical position for the graph (pick anything you want, but 3 makes the most sense). </t>
  </si>
  <si>
    <t>Emotional Exhaustion</t>
  </si>
  <si>
    <t>Perceived Coworker Support</t>
  </si>
  <si>
    <t>Abusive            Supervisor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</si>
</sst>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17" x14ac:knownFonts="1">
    <font>
      <sz val="11"/>
      <color theme="1"/>
      <name val="Calibri"/>
      <family val="2"/>
      <scheme val="minor"/>
    </font>
    <font>
      <sz val="11"/>
      <color indexed="8"/>
      <name val="Calibri"/>
      <family val="2"/>
    </font>
    <font>
      <b/>
      <sz val="10"/>
      <name val="Arial"/>
      <family val="2"/>
    </font>
    <font>
      <b/>
      <sz val="10"/>
      <color indexed="18"/>
      <name val="Arial"/>
      <family val="2"/>
    </font>
    <font>
      <sz val="10"/>
      <color indexed="18"/>
      <name val="Arial"/>
      <family val="2"/>
    </font>
    <font>
      <sz val="10"/>
      <color indexed="10"/>
      <name val="Arial"/>
      <family val="2"/>
    </font>
    <font>
      <b/>
      <sz val="10"/>
      <color indexed="9"/>
      <name val="Arial"/>
      <family val="2"/>
    </font>
    <font>
      <sz val="10"/>
      <color indexed="9"/>
      <name val="Arial"/>
      <family val="2"/>
    </font>
    <font>
      <b/>
      <u/>
      <sz val="10"/>
      <color indexed="18"/>
      <name val="Arial"/>
      <family val="2"/>
    </font>
    <font>
      <sz val="10"/>
      <name val="Arial"/>
      <family val="2"/>
    </font>
    <font>
      <sz val="12"/>
      <name val="Arial"/>
      <family val="2"/>
    </font>
    <font>
      <b/>
      <u/>
      <sz val="10"/>
      <name val="Arial"/>
      <family val="2"/>
    </font>
    <font>
      <sz val="11"/>
      <color theme="0"/>
      <name val="Calibri"/>
      <family val="2"/>
      <scheme val="minor"/>
    </font>
    <font>
      <sz val="11"/>
      <color indexed="20"/>
      <name val="Calibri"/>
      <family val="2"/>
      <scheme val="minor"/>
    </font>
    <font>
      <b/>
      <sz val="11"/>
      <color rgb="FFFA7D00"/>
      <name val="Calibri"/>
      <family val="2"/>
      <scheme val="minor"/>
    </font>
    <font>
      <sz val="10"/>
      <color theme="0"/>
      <name val="Arial"/>
      <family val="2"/>
    </font>
    <font>
      <sz val="12"/>
      <color theme="1"/>
      <name val="Arial"/>
      <family val="2"/>
    </font>
  </fonts>
  <fills count="9">
    <fill>
      <patternFill patternType="none"/>
    </fill>
    <fill>
      <patternFill patternType="gray125"/>
    </fill>
    <fill>
      <patternFill patternType="solid">
        <fgColor indexed="10"/>
      </patternFill>
    </fill>
    <fill>
      <patternFill patternType="solid">
        <fgColor indexed="22"/>
      </patternFill>
    </fill>
    <fill>
      <patternFill patternType="solid">
        <fgColor indexed="43"/>
        <bgColor indexed="64"/>
      </patternFill>
    </fill>
    <fill>
      <patternFill patternType="solid">
        <fgColor indexed="18"/>
        <bgColor indexed="64"/>
      </patternFill>
    </fill>
    <fill>
      <patternFill patternType="solid">
        <fgColor rgb="FFFFC7CE"/>
      </patternFill>
    </fill>
    <fill>
      <patternFill patternType="solid">
        <fgColor rgb="FFFFFFCC"/>
      </patternFill>
    </fill>
    <fill>
      <patternFill patternType="solid">
        <fgColor theme="5" tint="0.79998168889431442"/>
        <bgColor indexed="64"/>
      </patternFill>
    </fill>
  </fills>
  <borders count="3">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s>
  <cellStyleXfs count="6">
    <xf numFmtId="0" fontId="0" fillId="0" borderId="0"/>
    <xf numFmtId="0" fontId="12" fillId="2" borderId="0" applyNumberFormat="0" applyBorder="0" applyAlignment="0" applyProtection="0"/>
    <xf numFmtId="0" fontId="13" fillId="6" borderId="0" applyNumberFormat="0" applyBorder="0" applyAlignment="0" applyProtection="0"/>
    <xf numFmtId="0" fontId="14" fillId="3" borderId="1" applyNumberFormat="0" applyAlignment="0" applyProtection="0"/>
    <xf numFmtId="0" fontId="9" fillId="0" borderId="0"/>
    <xf numFmtId="0" fontId="1" fillId="7" borderId="2" applyNumberFormat="0" applyFont="0" applyAlignment="0" applyProtection="0"/>
  </cellStyleXfs>
  <cellXfs count="18">
    <xf numFmtId="0" fontId="0" fillId="0" borderId="0" xfId="0"/>
    <xf numFmtId="0" fontId="2" fillId="0" borderId="0" xfId="4" applyFont="1"/>
    <xf numFmtId="0" fontId="9" fillId="0" borderId="0" xfId="4"/>
    <xf numFmtId="0" fontId="2" fillId="4" borderId="0" xfId="4" applyFont="1" applyFill="1" applyAlignment="1">
      <alignment horizontal="left" wrapText="1"/>
    </xf>
    <xf numFmtId="0" fontId="3" fillId="0" borderId="0" xfId="4" applyFont="1" applyAlignment="1">
      <alignment horizontal="right"/>
    </xf>
    <xf numFmtId="0" fontId="4" fillId="0" borderId="0" xfId="4" applyFont="1" applyAlignment="1">
      <alignment horizontal="right"/>
    </xf>
    <xf numFmtId="0" fontId="4" fillId="0" borderId="0" xfId="4" applyFont="1"/>
    <xf numFmtId="0" fontId="6" fillId="5" borderId="0" xfId="4" applyFont="1" applyFill="1" applyProtection="1"/>
    <xf numFmtId="0" fontId="9" fillId="5" borderId="0" xfId="4" applyFill="1" applyProtection="1"/>
    <xf numFmtId="0" fontId="9" fillId="0" borderId="0" xfId="4" applyProtection="1"/>
    <xf numFmtId="0" fontId="7" fillId="0" borderId="0" xfId="4" applyFont="1" applyProtection="1"/>
    <xf numFmtId="0" fontId="5" fillId="4" borderId="0" xfId="4" applyFont="1" applyFill="1" applyAlignment="1" applyProtection="1">
      <alignment horizontal="right"/>
      <protection locked="0"/>
    </xf>
    <xf numFmtId="0" fontId="5" fillId="0" borderId="0" xfId="4" applyFont="1" applyProtection="1">
      <protection locked="0"/>
    </xf>
    <xf numFmtId="164" fontId="5" fillId="4" borderId="0" xfId="4" applyNumberFormat="1" applyFont="1" applyFill="1" applyProtection="1">
      <protection locked="0"/>
    </xf>
    <xf numFmtId="0" fontId="5" fillId="4" borderId="0" xfId="4" applyFont="1" applyFill="1" applyProtection="1">
      <protection locked="0"/>
    </xf>
    <xf numFmtId="0" fontId="15" fillId="0" borderId="0" xfId="4" applyFont="1" applyProtection="1"/>
    <xf numFmtId="0" fontId="10" fillId="0" borderId="0" xfId="4" applyFont="1" applyAlignment="1">
      <alignment horizontal="left" vertical="center" wrapText="1"/>
    </xf>
    <xf numFmtId="0" fontId="16" fillId="8" borderId="0" xfId="4" applyFont="1" applyFill="1" applyAlignment="1">
      <alignment horizontal="center" vertical="center" wrapText="1"/>
    </xf>
  </cellXfs>
  <cellStyles count="6">
    <cellStyle name="Accent2 2" xfId="1" xr:uid="{00000000-0005-0000-0000-000001000000}"/>
    <cellStyle name="Bad 2" xfId="2" xr:uid="{00000000-0005-0000-0000-000003000000}"/>
    <cellStyle name="Calculation 2" xfId="3" xr:uid="{00000000-0005-0000-0000-000005000000}"/>
    <cellStyle name="Normal" xfId="0" builtinId="0"/>
    <cellStyle name="Normal 2" xfId="4" xr:uid="{00000000-0005-0000-0000-00000A000000}"/>
    <cellStyle name="Note 2" xfId="5" xr:uid="{00000000-0005-0000-0000-00000C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i="0" u="sng" strike="noStrike" baseline="0">
                <a:solidFill>
                  <a:srgbClr val="000000"/>
                </a:solidFill>
                <a:latin typeface="Calibri"/>
                <a:ea typeface="Calibri"/>
                <a:cs typeface="Calibri"/>
              </a:defRPr>
            </a:pPr>
            <a:r>
              <a:rPr lang="en-US"/>
              <a:t>Moderator</a:t>
            </a:r>
          </a:p>
        </c:rich>
      </c:tx>
      <c:layout>
        <c:manualLayout>
          <c:xMode val="edge"/>
          <c:yMode val="edge"/>
          <c:x val="0.72874104215694546"/>
          <c:y val="0.29131579005947927"/>
        </c:manualLayout>
      </c:layout>
      <c:overlay val="1"/>
    </c:title>
    <c:autoTitleDeleted val="0"/>
    <c:plotArea>
      <c:layout>
        <c:manualLayout>
          <c:layoutTarget val="inner"/>
          <c:xMode val="edge"/>
          <c:yMode val="edge"/>
          <c:x val="0.13312952809877807"/>
          <c:y val="8.0779808651209192E-2"/>
          <c:w val="0.58609318903694529"/>
          <c:h val="0.77158774373259054"/>
        </c:manualLayout>
      </c:layout>
      <c:lineChart>
        <c:grouping val="standard"/>
        <c:varyColors val="0"/>
        <c:ser>
          <c:idx val="0"/>
          <c:order val="0"/>
          <c:tx>
            <c:strRef>
              <c:f>'2 way interactions'!$B$31</c:f>
              <c:strCache>
                <c:ptCount val="1"/>
                <c:pt idx="0">
                  <c:v>Low Perceived Coworker Support</c:v>
                </c:pt>
              </c:strCache>
            </c:strRef>
          </c:tx>
          <c:cat>
            <c:strRef>
              <c:f>'2 way interactions'!$C$30:$D$30</c:f>
              <c:strCache>
                <c:ptCount val="2"/>
                <c:pt idx="0">
                  <c:v>Low Abusive            Supervisor</c:v>
                </c:pt>
                <c:pt idx="1">
                  <c:v>High Abusive            Supervisor</c:v>
                </c:pt>
              </c:strCache>
            </c:strRef>
          </c:cat>
          <c:val>
            <c:numRef>
              <c:f>'2 way interactions'!$C$31:$D$31</c:f>
              <c:numCache>
                <c:formatCode>General</c:formatCode>
                <c:ptCount val="2"/>
                <c:pt idx="0">
                  <c:v>9.9999999999999992E-2</c:v>
                </c:pt>
                <c:pt idx="1">
                  <c:v>0.182</c:v>
                </c:pt>
              </c:numCache>
            </c:numRef>
          </c:val>
          <c:smooth val="0"/>
          <c:extLst>
            <c:ext xmlns:c16="http://schemas.microsoft.com/office/drawing/2014/chart" uri="{C3380CC4-5D6E-409C-BE32-E72D297353CC}">
              <c16:uniqueId val="{00000000-7894-4294-AD56-AB98C87E7DE2}"/>
            </c:ext>
          </c:extLst>
        </c:ser>
        <c:ser>
          <c:idx val="1"/>
          <c:order val="1"/>
          <c:tx>
            <c:strRef>
              <c:f>'2 way interactions'!$B$32</c:f>
              <c:strCache>
                <c:ptCount val="1"/>
                <c:pt idx="0">
                  <c:v>High Perceived Coworker Support</c:v>
                </c:pt>
              </c:strCache>
            </c:strRef>
          </c:tx>
          <c:spPr>
            <a:ln>
              <a:prstDash val="sysDash"/>
            </a:ln>
          </c:spPr>
          <c:cat>
            <c:strRef>
              <c:f>'2 way interactions'!$C$30:$D$30</c:f>
              <c:strCache>
                <c:ptCount val="2"/>
                <c:pt idx="0">
                  <c:v>Low Abusive            Supervisor</c:v>
                </c:pt>
                <c:pt idx="1">
                  <c:v>High Abusive            Supervisor</c:v>
                </c:pt>
              </c:strCache>
            </c:strRef>
          </c:cat>
          <c:val>
            <c:numRef>
              <c:f>'2 way interactions'!$C$32:$D$32</c:f>
              <c:numCache>
                <c:formatCode>General</c:formatCode>
                <c:ptCount val="2"/>
                <c:pt idx="0">
                  <c:v>-0.17399999999999999</c:v>
                </c:pt>
                <c:pt idx="1">
                  <c:v>8.4000000000000005E-2</c:v>
                </c:pt>
              </c:numCache>
            </c:numRef>
          </c:val>
          <c:smooth val="0"/>
          <c:extLst>
            <c:ext xmlns:c16="http://schemas.microsoft.com/office/drawing/2014/chart" uri="{C3380CC4-5D6E-409C-BE32-E72D297353CC}">
              <c16:uniqueId val="{00000001-7894-4294-AD56-AB98C87E7DE2}"/>
            </c:ext>
          </c:extLst>
        </c:ser>
        <c:dLbls>
          <c:showLegendKey val="0"/>
          <c:showVal val="0"/>
          <c:showCatName val="0"/>
          <c:showSerName val="0"/>
          <c:showPercent val="0"/>
          <c:showBubbleSize val="0"/>
        </c:dLbls>
        <c:marker val="1"/>
        <c:smooth val="0"/>
        <c:axId val="355386752"/>
        <c:axId val="355388320"/>
      </c:lineChart>
      <c:catAx>
        <c:axId val="355386752"/>
        <c:scaling>
          <c:orientation val="minMax"/>
        </c:scaling>
        <c:delete val="0"/>
        <c:axPos val="b"/>
        <c:numFmt formatCode="General" sourceLinked="1"/>
        <c:majorTickMark val="out"/>
        <c:minorTickMark val="none"/>
        <c:tickLblPos val="nextTo"/>
        <c:txPr>
          <a:bodyPr rot="0" vert="horz"/>
          <a:lstStyle/>
          <a:p>
            <a:pPr>
              <a:defRPr sz="1200" b="0" i="0" u="none" strike="noStrike" baseline="0">
                <a:solidFill>
                  <a:srgbClr val="000000"/>
                </a:solidFill>
                <a:latin typeface="Calibri"/>
                <a:ea typeface="Calibri"/>
                <a:cs typeface="Calibri"/>
              </a:defRPr>
            </a:pPr>
            <a:endParaRPr lang="en-US"/>
          </a:p>
        </c:txPr>
        <c:crossAx val="355388320"/>
        <c:crossesAt val="-1"/>
        <c:auto val="1"/>
        <c:lblAlgn val="ctr"/>
        <c:lblOffset val="100"/>
        <c:tickLblSkip val="1"/>
        <c:tickMarkSkip val="1"/>
        <c:noMultiLvlLbl val="0"/>
      </c:catAx>
      <c:valAx>
        <c:axId val="355388320"/>
        <c:scaling>
          <c:orientation val="minMax"/>
          <c:min val="-1"/>
        </c:scaling>
        <c:delete val="0"/>
        <c:axPos val="l"/>
        <c:title>
          <c:tx>
            <c:strRef>
              <c:f>'2 way interactions'!$B$8</c:f>
              <c:strCache>
                <c:ptCount val="1"/>
                <c:pt idx="0">
                  <c:v>Emotional Exhaustion</c:v>
                </c:pt>
              </c:strCache>
            </c:strRef>
          </c:tx>
          <c:layout>
            <c:manualLayout>
              <c:xMode val="edge"/>
              <c:yMode val="edge"/>
              <c:x val="8.3257545215035117E-3"/>
              <c:y val="0.15665346636036617"/>
            </c:manualLayout>
          </c:layout>
          <c:overlay val="0"/>
          <c:txPr>
            <a:bodyPr/>
            <a:lstStyle/>
            <a:p>
              <a:pPr>
                <a:defRPr sz="1400" b="1" i="0" u="none" strike="noStrike" baseline="0">
                  <a:solidFill>
                    <a:srgbClr val="000000"/>
                  </a:solidFill>
                  <a:latin typeface="Calibri"/>
                  <a:ea typeface="Calibri"/>
                  <a:cs typeface="Calibri"/>
                </a:defRPr>
              </a:pPr>
              <a:endParaRPr lang="en-US"/>
            </a:p>
          </c:txPr>
        </c:title>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355386752"/>
        <c:crosses val="autoZero"/>
        <c:crossBetween val="between"/>
      </c:valAx>
    </c:plotArea>
    <c:legend>
      <c:legendPos val="r"/>
      <c:layout>
        <c:manualLayout>
          <c:xMode val="edge"/>
          <c:yMode val="edge"/>
          <c:x val="0.63369033259815644"/>
          <c:y val="0.34885537984827436"/>
          <c:w val="0.33205253021130676"/>
          <c:h val="0.25391477780317034"/>
        </c:manualLayout>
      </c:layout>
      <c:overlay val="0"/>
      <c:txPr>
        <a:bodyPr/>
        <a:lstStyle/>
        <a:p>
          <a:pPr>
            <a:defRPr sz="900"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alignWithMargins="0"/>
    <c:pageMargins b="1" l="0.75" r="0.75" t="1" header="0.5" footer="0.5"/>
    <c:pageSetup paperSize="9" orientation="landscape" horizontalDpi="-4" verticalDpi="0"/>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2</xdr:col>
      <xdr:colOff>38100</xdr:colOff>
      <xdr:row>1</xdr:row>
      <xdr:rowOff>38100</xdr:rowOff>
    </xdr:from>
    <xdr:to>
      <xdr:col>8</xdr:col>
      <xdr:colOff>590550</xdr:colOff>
      <xdr:row>22</xdr:row>
      <xdr:rowOff>85725</xdr:rowOff>
    </xdr:to>
    <xdr:graphicFrame macro="">
      <xdr:nvGraphicFramePr>
        <xdr:cNvPr id="11534" name="Chart 2">
          <a:extLst>
            <a:ext uri="{FF2B5EF4-FFF2-40B4-BE49-F238E27FC236}">
              <a16:creationId xmlns:a16="http://schemas.microsoft.com/office/drawing/2014/main" id="{00000000-0008-0000-0200-00000E2D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9"/>
  <dimension ref="A1:I33"/>
  <sheetViews>
    <sheetView tabSelected="1" zoomScale="130" zoomScaleNormal="130" workbookViewId="0">
      <selection activeCell="E32" sqref="E32"/>
    </sheetView>
  </sheetViews>
  <sheetFormatPr defaultRowHeight="12.75" x14ac:dyDescent="0.2"/>
  <cols>
    <col min="1" max="1" width="38.28515625" style="2" bestFit="1" customWidth="1"/>
    <col min="2" max="2" width="23.5703125" style="2" customWidth="1"/>
    <col min="3" max="3" width="11" style="2" bestFit="1" customWidth="1"/>
    <col min="4" max="5" width="9.140625" style="2"/>
    <col min="6" max="6" width="13.7109375" style="2" customWidth="1"/>
    <col min="7" max="8" width="15.140625" style="2" customWidth="1"/>
    <col min="9" max="16384" width="9.140625" style="2"/>
  </cols>
  <sheetData>
    <row r="1" spans="1:2" x14ac:dyDescent="0.2">
      <c r="A1" s="1" t="s">
        <v>9</v>
      </c>
    </row>
    <row r="3" spans="1:2" ht="25.5" x14ac:dyDescent="0.2">
      <c r="A3" s="3" t="s">
        <v>0</v>
      </c>
    </row>
    <row r="5" spans="1:2" x14ac:dyDescent="0.2">
      <c r="A5" s="4" t="s">
        <v>1</v>
      </c>
    </row>
    <row r="6" spans="1:2" x14ac:dyDescent="0.2">
      <c r="A6" s="5" t="s">
        <v>2</v>
      </c>
      <c r="B6" s="11" t="s">
        <v>13</v>
      </c>
    </row>
    <row r="7" spans="1:2" x14ac:dyDescent="0.2">
      <c r="A7" s="5" t="s">
        <v>3</v>
      </c>
      <c r="B7" s="11" t="s">
        <v>12</v>
      </c>
    </row>
    <row r="8" spans="1:2" x14ac:dyDescent="0.2">
      <c r="A8" s="5" t="s">
        <v>7</v>
      </c>
      <c r="B8" s="11" t="s">
        <v>11</v>
      </c>
    </row>
    <row r="9" spans="1:2" x14ac:dyDescent="0.2">
      <c r="A9" s="4" t="s">
        <v>8</v>
      </c>
      <c r="B9" s="12"/>
    </row>
    <row r="10" spans="1:2" x14ac:dyDescent="0.2">
      <c r="A10" s="5" t="s">
        <v>2</v>
      </c>
      <c r="B10" s="13">
        <v>8.5000000000000006E-2</v>
      </c>
    </row>
    <row r="11" spans="1:2" x14ac:dyDescent="0.2">
      <c r="A11" s="5" t="s">
        <v>3</v>
      </c>
      <c r="B11" s="13">
        <v>-9.2999999999999999E-2</v>
      </c>
    </row>
    <row r="12" spans="1:2" x14ac:dyDescent="0.2">
      <c r="A12" s="5" t="s">
        <v>4</v>
      </c>
      <c r="B12" s="13">
        <v>4.3999999999999997E-2</v>
      </c>
    </row>
    <row r="13" spans="1:2" x14ac:dyDescent="0.2">
      <c r="A13" s="6"/>
      <c r="B13" s="12"/>
    </row>
    <row r="14" spans="1:2" x14ac:dyDescent="0.2">
      <c r="A14" s="5" t="s">
        <v>5</v>
      </c>
      <c r="B14" s="14">
        <v>4.8000000000000001E-2</v>
      </c>
    </row>
    <row r="16" spans="1:2" x14ac:dyDescent="0.2">
      <c r="A16" s="16" t="s">
        <v>10</v>
      </c>
      <c r="B16" s="16"/>
    </row>
    <row r="17" spans="1:9" x14ac:dyDescent="0.2">
      <c r="A17" s="16"/>
      <c r="B17" s="16"/>
    </row>
    <row r="18" spans="1:9" x14ac:dyDescent="0.2">
      <c r="A18" s="16"/>
      <c r="B18" s="16"/>
    </row>
    <row r="19" spans="1:9" x14ac:dyDescent="0.2">
      <c r="A19" s="16"/>
      <c r="B19" s="16"/>
    </row>
    <row r="20" spans="1:9" x14ac:dyDescent="0.2">
      <c r="A20" s="16"/>
      <c r="B20" s="16"/>
    </row>
    <row r="21" spans="1:9" x14ac:dyDescent="0.2">
      <c r="A21" s="16"/>
      <c r="B21" s="16"/>
    </row>
    <row r="22" spans="1:9" x14ac:dyDescent="0.2">
      <c r="A22" s="16"/>
      <c r="B22" s="16"/>
    </row>
    <row r="23" spans="1:9" x14ac:dyDescent="0.2">
      <c r="A23" s="16"/>
      <c r="B23" s="16"/>
    </row>
    <row r="24" spans="1:9" ht="12.75" customHeight="1" x14ac:dyDescent="0.2">
      <c r="A24" s="16"/>
      <c r="B24" s="16"/>
      <c r="C24" s="17" t="str">
        <f>CONCATENATE(B7,E31,E32,B6," and ",B8,".")</f>
        <v>Perceived Coworker Support strengthens the positive relationship between Abusive            Supervisor and Emotional Exhaustion.</v>
      </c>
      <c r="D24" s="17"/>
      <c r="E24" s="17"/>
      <c r="F24" s="17"/>
      <c r="G24" s="17"/>
      <c r="H24" s="17"/>
      <c r="I24" s="17"/>
    </row>
    <row r="25" spans="1:9" ht="12.75" customHeight="1" x14ac:dyDescent="0.2">
      <c r="A25" s="16"/>
      <c r="B25" s="16"/>
      <c r="C25" s="17"/>
      <c r="D25" s="17"/>
      <c r="E25" s="17"/>
      <c r="F25" s="17"/>
      <c r="G25" s="17"/>
      <c r="H25" s="17"/>
      <c r="I25" s="17"/>
    </row>
    <row r="26" spans="1:9" ht="12.75" customHeight="1" x14ac:dyDescent="0.2">
      <c r="A26" s="16"/>
      <c r="B26" s="16"/>
      <c r="C26" s="17"/>
      <c r="D26" s="17"/>
      <c r="E26" s="17"/>
      <c r="F26" s="17"/>
      <c r="G26" s="17"/>
      <c r="H26" s="17"/>
      <c r="I26" s="17"/>
    </row>
    <row r="27" spans="1:9" ht="12.75" customHeight="1" x14ac:dyDescent="0.2">
      <c r="A27" s="16"/>
      <c r="B27" s="16"/>
      <c r="C27" s="17"/>
      <c r="D27" s="17"/>
      <c r="E27" s="17"/>
      <c r="F27" s="17"/>
      <c r="G27" s="17"/>
      <c r="H27" s="17"/>
      <c r="I27" s="17"/>
    </row>
    <row r="28" spans="1:9" ht="12.75" customHeight="1" x14ac:dyDescent="0.2">
      <c r="C28" s="17"/>
      <c r="D28" s="17"/>
      <c r="E28" s="17"/>
      <c r="F28" s="17"/>
      <c r="G28" s="17"/>
      <c r="H28" s="17"/>
      <c r="I28" s="17"/>
    </row>
    <row r="29" spans="1:9" s="8" customFormat="1" x14ac:dyDescent="0.2">
      <c r="A29" s="7" t="s">
        <v>6</v>
      </c>
    </row>
    <row r="30" spans="1:9" s="9" customFormat="1" ht="13.5" customHeight="1" x14ac:dyDescent="0.2">
      <c r="B30" s="10"/>
      <c r="C30" s="10" t="str">
        <f>CONCATENATE("Low ", B6)</f>
        <v>Low Abusive            Supervisor</v>
      </c>
      <c r="D30" s="10" t="str">
        <f>CONCATENATE("High ", B6)</f>
        <v>High Abusive            Supervisor</v>
      </c>
    </row>
    <row r="31" spans="1:9" s="9" customFormat="1" x14ac:dyDescent="0.2">
      <c r="B31" s="10" t="str">
        <f>CONCATENATE("Low ", B7)</f>
        <v>Low Perceived Coworker Support</v>
      </c>
      <c r="C31" s="10">
        <f>(-1*B10)+(-1*B11)+B12+B14</f>
        <v>9.9999999999999992E-2</v>
      </c>
      <c r="D31" s="10">
        <f>B10+(-1*B11)+(-1*B12)+B14</f>
        <v>0.182</v>
      </c>
      <c r="E31" s="15" t="str">
        <f>IF(ABS(D31-C31)&gt;ABS(D32-C32)," dampens "," strengthens ")</f>
        <v xml:space="preserve"> strengthens </v>
      </c>
    </row>
    <row r="32" spans="1:9" s="9" customFormat="1" x14ac:dyDescent="0.2">
      <c r="B32" s="10" t="str">
        <f xml:space="preserve"> CONCATENATE("High ", B7)</f>
        <v>High Perceived Coworker Support</v>
      </c>
      <c r="C32" s="10">
        <f>(-1*B10)+B11+(-1*B12)+B14</f>
        <v>-0.17399999999999999</v>
      </c>
      <c r="D32" s="10">
        <f>B10+B11+B12+B14</f>
        <v>8.4000000000000005E-2</v>
      </c>
      <c r="E32" s="15" t="str">
        <f>IF(B10&gt;0,"the positive relationship between ", "the negative relationship between ")</f>
        <v xml:space="preserve">the positive relationship between </v>
      </c>
    </row>
    <row r="33" s="9" customFormat="1" x14ac:dyDescent="0.2"/>
  </sheetData>
  <sheetProtection selectLockedCells="1"/>
  <mergeCells count="2">
    <mergeCell ref="A16:B27"/>
    <mergeCell ref="C24:I28"/>
  </mergeCells>
  <pageMargins left="0.75" right="0.75" top="1" bottom="1" header="0.5" footer="0.5"/>
  <pageSetup paperSize="9" orientation="portrait" r:id="rId1"/>
  <headerFooter alignWithMargins="0"/>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2 way interactions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2022-03-10T12:13:22Z</dcterms:modified>
</cp:coreProperties>
</file>